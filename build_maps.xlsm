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leet\Documents\tps_etl\sample_discovercard\"/>
    </mc:Choice>
  </mc:AlternateContent>
  <bookViews>
    <workbookView xWindow="0" yWindow="0" windowWidth="28800" windowHeight="1236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G5" i="1"/>
  <c r="G13" i="1"/>
  <c r="G6" i="1"/>
  <c r="G7" i="1"/>
  <c r="G11" i="1"/>
  <c r="G8" i="1"/>
  <c r="G10" i="1"/>
  <c r="G12" i="1"/>
  <c r="G9" i="1"/>
  <c r="G3" i="1"/>
  <c r="G4" i="1"/>
  <c r="G2" i="1"/>
  <c r="D5" i="1"/>
  <c r="D9" i="1"/>
  <c r="D12" i="1"/>
  <c r="D13" i="1"/>
  <c r="D11" i="1"/>
  <c r="D7" i="1"/>
  <c r="D6" i="1"/>
  <c r="D10" i="1"/>
  <c r="D8" i="1"/>
  <c r="D4" i="1"/>
  <c r="D3" i="1"/>
  <c r="D2" i="1"/>
</calcChain>
</file>

<file path=xl/sharedStrings.xml><?xml version="1.0" encoding="utf-8"?>
<sst xmlns="http://schemas.openxmlformats.org/spreadsheetml/2006/main" count="66" uniqueCount="39">
  <si>
    <t>DCARD</t>
  </si>
  <si>
    <t>First 20</t>
  </si>
  <si>
    <t>{"f20": "DISCOUNT DRUG MART 3"}</t>
  </si>
  <si>
    <t>{"f20": "TARGET STOW OH"}</t>
  </si>
  <si>
    <t>{"f20": "WALMART GROCERY 800-"}</t>
  </si>
  <si>
    <t>{"f20": "CIRCLE K 05416 STOW "}</t>
  </si>
  <si>
    <t>{"f20": "TARGET.COM * 800-591"}</t>
  </si>
  <si>
    <t>{"f20": "ACME NO. 17 STOW OH"}</t>
  </si>
  <si>
    <t>{"f20": "AT&amp;T *PAYMENT 800-28"}</t>
  </si>
  <si>
    <t>{"f20": "AUTOZONE #0722 STOW "}</t>
  </si>
  <si>
    <t>{"f20": "BESTBUYCOM8055267948"}</t>
  </si>
  <si>
    <t>{"f20": "BUFFALO WILD WINGS K"}</t>
  </si>
  <si>
    <t>{"f20": "CASHBACK BONUS REDEM"}</t>
  </si>
  <si>
    <t>{"f20": "CLE CLINIC PT PMTS 2"}</t>
  </si>
  <si>
    <t>party</t>
  </si>
  <si>
    <t>reason</t>
  </si>
  <si>
    <t>Discount Drug Mart</t>
  </si>
  <si>
    <t>groceries</t>
  </si>
  <si>
    <t>Target</t>
  </si>
  <si>
    <t>Walmart</t>
  </si>
  <si>
    <t>Acme</t>
  </si>
  <si>
    <t>Autozone</t>
  </si>
  <si>
    <t>Circle K</t>
  </si>
  <si>
    <t>Buffalo Wild Wings</t>
  </si>
  <si>
    <t>gasoline</t>
  </si>
  <si>
    <t>home supplies</t>
  </si>
  <si>
    <t>AT&amp;T</t>
  </si>
  <si>
    <t>internet</t>
  </si>
  <si>
    <t>auto maint</t>
  </si>
  <si>
    <t>BestBuy</t>
  </si>
  <si>
    <t>restaurante</t>
  </si>
  <si>
    <t>Discover Card</t>
  </si>
  <si>
    <t>financing</t>
  </si>
  <si>
    <t>Cleveland Clinic</t>
  </si>
  <si>
    <t>medical</t>
  </si>
  <si>
    <t>source</t>
  </si>
  <si>
    <t>map</t>
  </si>
  <si>
    <t>mapped</t>
  </si>
  <si>
    <t>ret_val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</si>
</sst>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tabSelected="1" topLeftCell="B1" workbookViewId="0">
      <selection activeCell="C16" sqref="C16"/>
    </sheetView>
  </sheetViews>
  <sheetFormatPr defaultRowHeight="15" outlineLevelCol="1" x14ac:dyDescent="0.25"/>
  <cols>
    <col min="1" max="1" width="7.140625" bestFit="1" customWidth="1"/>
    <col min="2" max="2" width="7.28515625" bestFit="1" customWidth="1"/>
    <col min="3" max="3" width="33" bestFit="1" customWidth="1"/>
    <col min="4" max="4" width="50" hidden="1" customWidth="1" outlineLevel="1"/>
    <col min="5" max="5" width="18.140625" bestFit="1" customWidth="1" collapsed="1"/>
    <col min="6" max="6" width="14.140625" bestFit="1" customWidth="1"/>
  </cols>
  <sheetData>
    <row r="1" spans="1:7" x14ac:dyDescent="0.25">
      <c r="A1" t="s">
        <v>35</v>
      </c>
      <c r="B1" t="s">
        <v>36</v>
      </c>
      <c r="C1" t="s">
        <v>38</v>
      </c>
      <c r="D1" t="s">
        <v>37</v>
      </c>
      <c r="E1" t="s">
        <v>14</v>
      </c>
      <c r="F1" t="s">
        <v>15</v>
      </c>
    </row>
    <row r="2" spans="1:7" x14ac:dyDescent="0.25">
      <c r="A2" t="s">
        <v>0</v>
      </c>
      <c r="B2" t="s">
        <v>1</v>
      </c>
      <c r="C2" t="s">
        <v>2</v>
      </c>
      <c r="D2" t="str">
        <f>json_from_list($E$1:$F$1,E2:F2)</f>
        <v>{"party":"Discount Drug Mart","reason":"groceries"}</v>
      </c>
      <c r="E2" t="s">
        <v>16</v>
      </c>
      <c r="F2" t="s">
        <v>17</v>
      </c>
      <c r="G2" t="str">
        <f>SUBSTITUTE(SUBSTITUTE(json_from_list($A$1:$D$1,A2:D2),"""{","{"),"}""","}")&amp;","</f>
        <v>{"source":"DCARD","map":"First 20","ret_val":{"f20": "DISCOUNT DRUG MART 3"},"mapped":{"party":"Discount Drug Mart","reason":"groceries"}},</v>
      </c>
    </row>
    <row r="3" spans="1:7" x14ac:dyDescent="0.25">
      <c r="A3" t="s">
        <v>0</v>
      </c>
      <c r="B3" t="s">
        <v>1</v>
      </c>
      <c r="C3" t="s">
        <v>3</v>
      </c>
      <c r="D3" t="str">
        <f>json_from_list($E$1:$F$1,E3:F3)</f>
        <v>{"party":"Target","reason":"groceries"}</v>
      </c>
      <c r="E3" t="s">
        <v>18</v>
      </c>
      <c r="F3" t="s">
        <v>17</v>
      </c>
      <c r="G3" t="str">
        <f t="shared" ref="G3:G13" si="0">SUBSTITUTE(SUBSTITUTE(json_from_list($A$1:$D$1,A3:D3),"""{","{"),"}""","}")&amp;","</f>
        <v>{"source":"DCARD","map":"First 20","ret_val":{"f20": "TARGET STOW OH"},"mapped":{"party":"Target","reason":"groceries"}},</v>
      </c>
    </row>
    <row r="4" spans="1:7" x14ac:dyDescent="0.25">
      <c r="A4" t="s">
        <v>0</v>
      </c>
      <c r="B4" t="s">
        <v>1</v>
      </c>
      <c r="C4" t="s">
        <v>4</v>
      </c>
      <c r="D4" t="str">
        <f>json_from_list($E$1:$F$1,E4:F4)</f>
        <v>{"party":"Walmart","reason":"groceries"}</v>
      </c>
      <c r="E4" t="s">
        <v>19</v>
      </c>
      <c r="F4" t="s">
        <v>17</v>
      </c>
      <c r="G4" t="str">
        <f t="shared" si="0"/>
        <v>{"source":"DCARD","map":"First 20","ret_val":{"f20": "WALMART GROCERY 800-"},"mapped":{"party":"Walmart","reason":"groceries"}},</v>
      </c>
    </row>
    <row r="5" spans="1:7" x14ac:dyDescent="0.25">
      <c r="A5" t="s">
        <v>0</v>
      </c>
      <c r="B5" t="s">
        <v>1</v>
      </c>
      <c r="C5" t="s">
        <v>5</v>
      </c>
      <c r="D5" t="str">
        <f>json_from_list($E$1:$F$1,E5:F5)</f>
        <v>{"party":"Circle K","reason":"gasoline"}</v>
      </c>
      <c r="E5" t="s">
        <v>22</v>
      </c>
      <c r="F5" t="s">
        <v>24</v>
      </c>
      <c r="G5" t="str">
        <f t="shared" si="0"/>
        <v>{"source":"DCARD","map":"First 20","ret_val":{"f20": "CIRCLE K 05416 STOW "},"mapped":{"party":"Circle K","reason":"gasoline"}},</v>
      </c>
    </row>
    <row r="6" spans="1:7" x14ac:dyDescent="0.25">
      <c r="A6" t="s">
        <v>0</v>
      </c>
      <c r="B6" t="s">
        <v>1</v>
      </c>
      <c r="C6" t="s">
        <v>6</v>
      </c>
      <c r="D6" t="str">
        <f>json_from_list($E$1:$F$1,E6:F6)</f>
        <v>{"party":"Target","reason":"home supplies"}</v>
      </c>
      <c r="E6" t="s">
        <v>18</v>
      </c>
      <c r="F6" t="s">
        <v>25</v>
      </c>
      <c r="G6" t="str">
        <f t="shared" si="0"/>
        <v>{"source":"DCARD","map":"First 20","ret_val":{"f20": "TARGET.COM * 800-591"},"mapped":{"party":"Target","reason":"home supplies"}},</v>
      </c>
    </row>
    <row r="7" spans="1:7" x14ac:dyDescent="0.25">
      <c r="A7" t="s">
        <v>0</v>
      </c>
      <c r="B7" t="s">
        <v>1</v>
      </c>
      <c r="C7" t="s">
        <v>7</v>
      </c>
      <c r="D7" t="str">
        <f>json_from_list($E$1:$F$1,E7:F7)</f>
        <v>{"party":"Acme","reason":"groceries"}</v>
      </c>
      <c r="E7" t="s">
        <v>20</v>
      </c>
      <c r="F7" t="s">
        <v>17</v>
      </c>
      <c r="G7" t="str">
        <f t="shared" si="0"/>
        <v>{"source":"DCARD","map":"First 20","ret_val":{"f20": "ACME NO. 17 STOW OH"},"mapped":{"party":"Acme","reason":"groceries"}},</v>
      </c>
    </row>
    <row r="8" spans="1:7" x14ac:dyDescent="0.25">
      <c r="A8" t="s">
        <v>0</v>
      </c>
      <c r="B8" t="s">
        <v>1</v>
      </c>
      <c r="C8" t="s">
        <v>8</v>
      </c>
      <c r="D8" t="str">
        <f>json_from_list($E$1:$F$1,E8:F8)</f>
        <v>{"party":"AT&amp;T","reason":"internet"}</v>
      </c>
      <c r="E8" t="s">
        <v>26</v>
      </c>
      <c r="F8" t="s">
        <v>27</v>
      </c>
      <c r="G8" t="str">
        <f t="shared" si="0"/>
        <v>{"source":"DCARD","map":"First 20","ret_val":{"f20": "AT&amp;T *PAYMENT 800-28"},"mapped":{"party":"AT&amp;T","reason":"internet"}},</v>
      </c>
    </row>
    <row r="9" spans="1:7" x14ac:dyDescent="0.25">
      <c r="A9" t="s">
        <v>0</v>
      </c>
      <c r="B9" t="s">
        <v>1</v>
      </c>
      <c r="C9" t="s">
        <v>9</v>
      </c>
      <c r="D9" t="str">
        <f>json_from_list($E$1:$F$1,E9:F9)</f>
        <v>{"party":"Autozone","reason":"auto maint"}</v>
      </c>
      <c r="E9" t="s">
        <v>21</v>
      </c>
      <c r="F9" t="s">
        <v>28</v>
      </c>
      <c r="G9" t="str">
        <f t="shared" si="0"/>
        <v>{"source":"DCARD","map":"First 20","ret_val":{"f20": "AUTOZONE #0722 STOW "},"mapped":{"party":"Autozone","reason":"auto maint"}},</v>
      </c>
    </row>
    <row r="10" spans="1:7" x14ac:dyDescent="0.25">
      <c r="A10" t="s">
        <v>0</v>
      </c>
      <c r="B10" t="s">
        <v>1</v>
      </c>
      <c r="C10" t="s">
        <v>10</v>
      </c>
      <c r="D10" t="str">
        <f>json_from_list($E$1:$F$1,E10:F10)</f>
        <v>{"party":"BestBuy","reason":"home supplies"}</v>
      </c>
      <c r="E10" t="s">
        <v>29</v>
      </c>
      <c r="F10" t="s">
        <v>25</v>
      </c>
      <c r="G10" t="str">
        <f t="shared" si="0"/>
        <v>{"source":"DCARD","map":"First 20","ret_val":{"f20": "BESTBUYCOM8055267948"},"mapped":{"party":"BestBuy","reason":"home supplies"}},</v>
      </c>
    </row>
    <row r="11" spans="1:7" x14ac:dyDescent="0.25">
      <c r="A11" t="s">
        <v>0</v>
      </c>
      <c r="B11" t="s">
        <v>1</v>
      </c>
      <c r="C11" t="s">
        <v>11</v>
      </c>
      <c r="D11" t="str">
        <f>json_from_list($E$1:$F$1,E11:F11)</f>
        <v>{"party":"Buffalo Wild Wings","reason":"restaurante"}</v>
      </c>
      <c r="E11" t="s">
        <v>23</v>
      </c>
      <c r="F11" t="s">
        <v>30</v>
      </c>
      <c r="G11" t="str">
        <f t="shared" si="0"/>
        <v>{"source":"DCARD","map":"First 20","ret_val":{"f20": "BUFFALO WILD WINGS K"},"mapped":{"party":"Buffalo Wild Wings","reason":"restaurante"}},</v>
      </c>
    </row>
    <row r="12" spans="1:7" x14ac:dyDescent="0.25">
      <c r="A12" t="s">
        <v>0</v>
      </c>
      <c r="B12" t="s">
        <v>1</v>
      </c>
      <c r="C12" t="s">
        <v>12</v>
      </c>
      <c r="D12" t="str">
        <f>json_from_list($E$1:$F$1,E12:F12)</f>
        <v>{"party":"Discover Card","reason":"financing"}</v>
      </c>
      <c r="E12" t="s">
        <v>31</v>
      </c>
      <c r="F12" t="s">
        <v>32</v>
      </c>
      <c r="G12" t="str">
        <f t="shared" si="0"/>
        <v>{"source":"DCARD","map":"First 20","ret_val":{"f20": "CASHBACK BONUS REDEM"},"mapped":{"party":"Discover Card","reason":"financing"}},</v>
      </c>
    </row>
    <row r="13" spans="1:7" x14ac:dyDescent="0.25">
      <c r="A13" t="s">
        <v>0</v>
      </c>
      <c r="B13" t="s">
        <v>1</v>
      </c>
      <c r="C13" t="s">
        <v>13</v>
      </c>
      <c r="D13" t="str">
        <f>json_from_list($E$1:$F$1,E13:F13)</f>
        <v>{"party":"Cleveland Clinic","reason":"medical"}</v>
      </c>
      <c r="E13" t="s">
        <v>33</v>
      </c>
      <c r="F13" t="s">
        <v>34</v>
      </c>
      <c r="G13" t="str">
        <f t="shared" si="0"/>
        <v>{"source":"DCARD","map":"First 20","ret_val":{"f20": "CLE CLINIC PT PMTS 2"},"mapped":{"party":"Cleveland Clinic","reason":"medical"}},</v>
      </c>
    </row>
    <row r="15" spans="1:7" x14ac:dyDescent="0.25">
      <c r="G15" t="str">
        <f>"["&amp;_xlfn.CONCAT(G2:G13)&amp;"]"</f>
        <v>[{"source":"DCARD","map":"First 20","ret_val":{"f20": "DISCOUNT DRUG MART 3"},"mapped":{"party":"Discount Drug Mart","reason":"groceries"}},{"source":"DCARD","map":"First 20","ret_val":{"f20": "TARGET STOW OH"},"mapped":{"party":"Target","reason":"groceries"}},{"source":"DCARD","map":"First 20","ret_val":{"f20": "WALMART GROCERY 800-"},"mapped":{"party":"Walmart","reason":"groceries"}},{"source":"DCARD","map":"First 20","ret_val":{"f20": "CIRCLE K 05416 STOW "},"mapped":{"party":"Circle K","reason":"gasoline"}},{"source":"DCARD","map":"First 20","ret_val":{"f20": "TARGET.COM * 800-591"},"mapped":{"party":"Target","reason":"home supplies"}},{"source":"DCARD","map":"First 20","ret_val":{"f20": "ACME NO. 17 STOW OH"},"mapped":{"party":"Acme","reason":"groceries"}},{"source":"DCARD","map":"First 20","ret_val":{"f20": "AT&amp;T *PAYMENT 800-28"},"mapped":{"party":"AT&amp;T","reason":"internet"}},{"source":"DCARD","map":"First 20","ret_val":{"f20": "AUTOZONE #0722 STOW "},"mapped":{"party":"Autozone","reason":"auto maint"}},{"source":"DCARD","map":"First 20","ret_val":{"f20": "BESTBUYCOM8055267948"},"mapped":{"party":"BestBuy","reason":"home supplies"}},{"source":"DCARD","map":"First 20","ret_val":{"f20": "BUFFALO WILD WINGS K"},"mapped":{"party":"Buffalo Wild Wings","reason":"restaurante"}},{"source":"DCARD","map":"First 20","ret_val":{"f20": "CASHBACK BONUS REDEM"},"mapped":{"party":"Discover Card","reason":"financing"}},{"source":"DCARD","map":"First 20","ret_val":{"f20": "CLE CLINIC PT PMTS 2"},"mapped":{"party":"Cleveland Clinic","reason":"medical"}},]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Trowbridge</dc:creator>
  <cp:lastModifiedBy>Paul Trowbridge</cp:lastModifiedBy>
  <dcterms:created xsi:type="dcterms:W3CDTF">2018-03-03T14:50:07Z</dcterms:created>
  <dcterms:modified xsi:type="dcterms:W3CDTF">2018-03-03T16:17:29Z</dcterms:modified>
</cp:coreProperties>
</file>